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iowa.sharepoint.com/sites/osc/OSC Document Library/Pillar Marketing Pilot/"/>
    </mc:Choice>
  </mc:AlternateContent>
  <xr:revisionPtr revIDLastSave="115" documentId="8_{3CFB11B5-4C70-4F80-BE83-9A1B13384CAC}" xr6:coauthVersionLast="47" xr6:coauthVersionMax="47" xr10:uidLastSave="{D9F898BD-9FC5-4A7A-9166-C090D9BD0569}"/>
  <bookViews>
    <workbookView xWindow="-120" yWindow="-120" windowWidth="29040" windowHeight="15720" xr2:uid="{8DBB6966-0F74-4499-864C-019539408ABB}"/>
  </bookViews>
  <sheets>
    <sheet name="RELE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" i="1" l="1"/>
  <c r="E25" i="1"/>
  <c r="E22" i="1"/>
  <c r="E21" i="1"/>
  <c r="E23" i="1"/>
  <c r="E27" i="1"/>
  <c r="D15" i="1"/>
  <c r="D13" i="1"/>
  <c r="D11" i="1"/>
  <c r="D9" i="1"/>
  <c r="D7" i="1"/>
  <c r="D5" i="1"/>
  <c r="D3" i="1"/>
  <c r="C6" i="1"/>
  <c r="C8" i="1"/>
  <c r="C10" i="1"/>
  <c r="C12" i="1"/>
  <c r="C14" i="1"/>
  <c r="C4" i="1"/>
  <c r="B6" i="1"/>
  <c r="B8" i="1"/>
  <c r="B10" i="1"/>
  <c r="B12" i="1"/>
  <c r="B14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tc={936E0EC1-709F-4000-87A1-B58698C8B221}</author>
  </authors>
  <commentList>
    <comment ref="D21" authorId="0" shapeId="0" xr:uid="{936E0EC1-709F-4000-87A1-B58698C8B221}">
      <text>
        <t>[Threaded comment]
Your version of Excel allows you to read this threaded comment; however, any edits to it will get removed if the file is opened in a newer version of Excel. Learn more: https://go.microsoft.com/fwlink/?linkid=870924
Comment:
    On some occasions the release has been delayed into early September</t>
      </text>
    </comment>
  </commentList>
</comments>
</file>

<file path=xl/sharedStrings.xml><?xml version="1.0" encoding="utf-8"?>
<sst xmlns="http://schemas.openxmlformats.org/spreadsheetml/2006/main" count="27" uniqueCount="23">
  <si>
    <t>IPEDS DATA RELEASE CADENCE</t>
  </si>
  <si>
    <t>Year (Academic or Calendar</t>
  </si>
  <si>
    <t>Institutional Characteristics, Completions, and 12-month Enrollment</t>
  </si>
  <si>
    <t>Admissions, Graduation Rates, Fin Aid, Outcomes</t>
  </si>
  <si>
    <t>Fall Enrollment, Finance, Human Resources, Academic Libraries</t>
  </si>
  <si>
    <t>23-24</t>
  </si>
  <si>
    <t>24-25</t>
  </si>
  <si>
    <t>25-26</t>
  </si>
  <si>
    <t>26-27</t>
  </si>
  <si>
    <t>27-28</t>
  </si>
  <si>
    <t>28-29</t>
  </si>
  <si>
    <t>BLS DATA RELEASE CADENCE</t>
  </si>
  <si>
    <t>Year</t>
  </si>
  <si>
    <t>Data</t>
  </si>
  <si>
    <t>Release</t>
  </si>
  <si>
    <t>2024-2034</t>
  </si>
  <si>
    <t>Occupational Projections</t>
  </si>
  <si>
    <t>Late Aug 2025</t>
  </si>
  <si>
    <t>2025-2035</t>
  </si>
  <si>
    <t>Late Aug 2026</t>
  </si>
  <si>
    <t>2026-2036</t>
  </si>
  <si>
    <t>Late Aug 2027</t>
  </si>
  <si>
    <t>Occupational Employment and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</si>
</sst>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4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center"/>
    </xf>
    <xf numFmtId="17" fontId="0" fillId="0" borderId="0" xfId="0" applyNumberFormat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5" fillId="0" borderId="2" xfId="0" applyFont="1" applyBorder="1" applyAlignment="1">
      <alignment wrapText="1"/>
    </xf>
    <xf numFmtId="17" fontId="0" fillId="0" borderId="0" xfId="0" applyNumberFormat="1" applyAlignment="1">
      <alignment horizontal="left"/>
    </xf>
    <xf numFmtId="0" fontId="7" fillId="2" borderId="0" xfId="0" applyFont="1" applyFill="1"/>
    <xf numFmtId="17" fontId="0" fillId="2" borderId="0" xfId="0" applyNumberFormat="1" applyFill="1" applyAlignment="1">
      <alignment horizontal="center"/>
    </xf>
    <xf numFmtId="17" fontId="0" fillId="2" borderId="0" xfId="0" applyNumberFormat="1" applyFill="1"/>
    <xf numFmtId="0" fontId="0" fillId="2" borderId="0" xfId="0" applyFill="1" applyAlignment="1">
      <alignment vertical="center"/>
    </xf>
    <xf numFmtId="0" fontId="3" fillId="0" borderId="0" xfId="1"/>
    <xf numFmtId="0" fontId="7" fillId="3" borderId="0" xfId="0" applyFont="1" applyFill="1"/>
    <xf numFmtId="0" fontId="0" fillId="3" borderId="0" xfId="0" applyFill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wrapText="1"/>
    </xf>
    <xf numFmtId="164" fontId="6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right" wrapText="1" indent="2"/>
    </xf>
    <xf numFmtId="0" fontId="0" fillId="0" borderId="0" xfId="0" applyAlignment="1">
      <alignment horizontal="left"/>
    </xf>
    <xf numFmtId="0" fontId="5" fillId="0" borderId="3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[$-409]mmmm\-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[$-409]mmmm\-yy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64" formatCode="[$-409]mmmm\-yy;@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right" vertical="bottom" textRotation="0" wrapText="0" relativeIndent="-1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409575</xdr:colOff>
      <xdr:row>0</xdr:row>
      <xdr:rowOff>123825</xdr:rowOff>
    </xdr:from>
    <xdr:to>
      <xdr:col>6</xdr:col>
      <xdr:colOff>1057706</xdr:colOff>
      <xdr:row>9</xdr:row>
      <xdr:rowOff>76649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3DFEDF-379B-CC99-DCF1-8D2C2D69B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123825"/>
          <a:ext cx="3086531" cy="3219899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238125</xdr:colOff>
      <xdr:row>0</xdr:row>
      <xdr:rowOff>0</xdr:rowOff>
    </xdr:from>
    <xdr:to>
      <xdr:col>13</xdr:col>
      <xdr:colOff>608286</xdr:colOff>
      <xdr:row>10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7FBC6E-F889-D0CB-6EE5-B0416D4F35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8633"/>
        <a:stretch>
          <a:fillRect/>
        </a:stretch>
      </xdr:blipFill>
      <xdr:spPr>
        <a:xfrm>
          <a:off x="8334375" y="0"/>
          <a:ext cx="9390336" cy="37147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ine, Lydia J" id="{3CB36BD2-2A03-46FF-B759-5EEF778CAA41}" userId="S::lfine@uiowa.edu::56d581c6-8f16-44dd-9e78-c7e4b77898b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1DA0B-3904-4BEA-804F-B2B2D61A9702}" name="Table1" displayName="Table1" ref="A2:D15" totalsRowShown="0" headerRowDxfId="6" dataDxfId="5" headerRowBorderDxfId="4">
  <autoFilter ref="A2:D15" xr:uid="{2EF1DA0B-3904-4BEA-804F-B2B2D61A9702}"/>
  <tableColumns count="4">
    <tableColumn id="1" xr3:uid="{7A6779E3-5BE2-4E31-B2C9-B5BF163A8A04}" name="Year (Academic or Calendar" dataDxfId="3"/>
    <tableColumn id="2" xr3:uid="{7DB91900-29F4-4C27-9B3A-827DE664A67C}" name="Institutional Characteristics, Completions, and 12-month Enrollment" dataDxfId="2"/>
    <tableColumn id="3" xr3:uid="{BADE41D8-62EC-4C49-9BD3-26F988445319}" name="Admissions, Graduation Rates, Fin Aid, Outcomes" dataDxfId="1"/>
    <tableColumn id="4" xr3:uid="{CE2972AD-956C-476A-81DB-10DE529FB299}" name="Fall Enrollment, Finance, Human Resources, Academic Librarie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1" dT="2026-07-29T17:12:05.52" personId="{3CB36BD2-2A03-46FF-B759-5EEF778CAA41}" id="{936E0EC1-709F-4000-87A1-B58698C8B221}">
    <text>On some occasions the release has been delayed into early September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E643-152C-4687-B1A2-C07C5E056D09}">
  <dimension ref="A1:I36"/>
  <sheetViews>
    <sheetView tabSelected="1" topLeftCell="A2" workbookViewId="0">
      <selection activeCell="G14" sqref="G14"/>
    </sheetView>
  </sheetViews>
  <sheetFormatPr defaultRowHeight="15"/>
  <cols>
    <col min="1" max="1" width="14.85546875" customWidth="1"/>
    <col min="2" max="2" width="24" customWidth="1"/>
    <col min="3" max="3" width="23.85546875" customWidth="1"/>
    <col min="4" max="4" width="22.140625" customWidth="1"/>
    <col min="5" max="5" width="27.42578125" bestFit="1" customWidth="1"/>
    <col min="7" max="7" width="62.5703125" bestFit="1" customWidth="1"/>
    <col min="8" max="8" width="13.28515625" customWidth="1"/>
    <col min="9" max="9" width="22.85546875" customWidth="1"/>
  </cols>
  <sheetData>
    <row r="1" spans="1:5" ht="31.5">
      <c r="A1" s="16" t="s">
        <v>0</v>
      </c>
      <c r="B1" s="17"/>
      <c r="C1" s="17"/>
      <c r="D1" s="17"/>
    </row>
    <row r="2" spans="1:5" ht="99.75" customHeight="1">
      <c r="A2" s="20" t="s">
        <v>1</v>
      </c>
      <c r="B2" s="22" t="s">
        <v>2</v>
      </c>
      <c r="C2" s="22" t="s">
        <v>3</v>
      </c>
      <c r="D2" s="22" t="s">
        <v>4</v>
      </c>
    </row>
    <row r="3" spans="1:5" ht="18" customHeight="1">
      <c r="A3" s="18">
        <v>2023</v>
      </c>
      <c r="B3" s="21"/>
      <c r="C3" s="21"/>
      <c r="D3" s="21">
        <f>EDATE(DATE(A3 + 1, 4, 1), 7)</f>
        <v>45597</v>
      </c>
      <c r="E3" s="1"/>
    </row>
    <row r="4" spans="1:5" ht="18" customHeight="1">
      <c r="A4" s="18" t="s">
        <v>5</v>
      </c>
      <c r="B4" s="21">
        <f>DATE(2001 + RIGHT(A4, 2), 6, 1)</f>
        <v>45809</v>
      </c>
      <c r="C4" s="21">
        <f>DATE(2001 + RIGHT(A4, 2), 10, 1)</f>
        <v>45931</v>
      </c>
      <c r="D4" s="21"/>
      <c r="E4" s="1"/>
    </row>
    <row r="5" spans="1:5" ht="18" customHeight="1">
      <c r="A5" s="18">
        <v>2024</v>
      </c>
      <c r="B5" s="21"/>
      <c r="C5" s="21"/>
      <c r="D5" s="21">
        <f>EDATE(DATE(A5 + 1, 4, 1), 7)</f>
        <v>45962</v>
      </c>
      <c r="E5" s="1"/>
    </row>
    <row r="6" spans="1:5" ht="18" customHeight="1">
      <c r="A6" s="18" t="s">
        <v>6</v>
      </c>
      <c r="B6" s="21">
        <f t="shared" ref="B6:B14" si="0">DATE(2001 + RIGHT(A6, 2), 6, 1)</f>
        <v>46174</v>
      </c>
      <c r="C6" s="21">
        <f t="shared" ref="C6:C14" si="1">DATE(2001 + RIGHT(A6, 2), 10, 1)</f>
        <v>46296</v>
      </c>
      <c r="D6" s="21"/>
    </row>
    <row r="7" spans="1:5" ht="18" customHeight="1">
      <c r="A7" s="18">
        <v>2025</v>
      </c>
      <c r="B7" s="21"/>
      <c r="C7" s="21"/>
      <c r="D7" s="21">
        <f>EDATE(DATE(A7 + 1, 4, 1), 7)</f>
        <v>46327</v>
      </c>
    </row>
    <row r="8" spans="1:5" ht="18" customHeight="1">
      <c r="A8" s="18" t="s">
        <v>7</v>
      </c>
      <c r="B8" s="21">
        <f t="shared" si="0"/>
        <v>46539</v>
      </c>
      <c r="C8" s="21">
        <f t="shared" si="1"/>
        <v>46661</v>
      </c>
      <c r="D8" s="21"/>
    </row>
    <row r="9" spans="1:5" ht="18" customHeight="1">
      <c r="A9" s="18">
        <v>2026</v>
      </c>
      <c r="B9" s="21"/>
      <c r="C9" s="21"/>
      <c r="D9" s="21">
        <f>EDATE(DATE(A9 + 1, 4, 1), 7)</f>
        <v>46692</v>
      </c>
    </row>
    <row r="10" spans="1:5" ht="18" customHeight="1">
      <c r="A10" s="18" t="s">
        <v>8</v>
      </c>
      <c r="B10" s="21">
        <f t="shared" si="0"/>
        <v>46905</v>
      </c>
      <c r="C10" s="21">
        <f t="shared" si="1"/>
        <v>47027</v>
      </c>
      <c r="D10" s="21"/>
    </row>
    <row r="11" spans="1:5" ht="18" customHeight="1">
      <c r="A11" s="18">
        <v>2027</v>
      </c>
      <c r="B11" s="21"/>
      <c r="C11" s="21"/>
      <c r="D11" s="21">
        <f>EDATE(DATE(A11 + 1, 4, 1), 7)</f>
        <v>47058</v>
      </c>
    </row>
    <row r="12" spans="1:5" ht="18" customHeight="1">
      <c r="A12" s="18" t="s">
        <v>9</v>
      </c>
      <c r="B12" s="21">
        <f t="shared" si="0"/>
        <v>47270</v>
      </c>
      <c r="C12" s="21">
        <f t="shared" si="1"/>
        <v>47392</v>
      </c>
      <c r="D12" s="21"/>
    </row>
    <row r="13" spans="1:5" ht="18" customHeight="1">
      <c r="A13" s="18">
        <v>2028</v>
      </c>
      <c r="B13" s="21"/>
      <c r="C13" s="21"/>
      <c r="D13" s="21">
        <f>EDATE(DATE(A13 + 1, 4, 1), 7)</f>
        <v>47423</v>
      </c>
    </row>
    <row r="14" spans="1:5" ht="18" customHeight="1">
      <c r="A14" s="19" t="s">
        <v>10</v>
      </c>
      <c r="B14" s="21">
        <f t="shared" si="0"/>
        <v>47635</v>
      </c>
      <c r="C14" s="21">
        <f t="shared" si="1"/>
        <v>47757</v>
      </c>
      <c r="D14" s="21"/>
    </row>
    <row r="15" spans="1:5" ht="18" customHeight="1">
      <c r="A15" s="19">
        <v>2029</v>
      </c>
      <c r="B15" s="19"/>
      <c r="C15" s="19"/>
      <c r="D15" s="21">
        <f>EDATE(DATE(A15 + 1, 4, 1), 7)</f>
        <v>47788</v>
      </c>
      <c r="E15" s="2"/>
    </row>
    <row r="16" spans="1:5" ht="15.75">
      <c r="B16" s="6"/>
      <c r="D16" s="2"/>
      <c r="E16" s="2"/>
    </row>
    <row r="17" spans="1:9">
      <c r="A17" s="3"/>
      <c r="B17" s="4"/>
      <c r="C17" s="5"/>
      <c r="D17" s="2"/>
      <c r="E17" s="2"/>
    </row>
    <row r="18" spans="1:9" ht="31.5">
      <c r="A18" s="11" t="s">
        <v>11</v>
      </c>
      <c r="B18" s="12"/>
      <c r="C18" s="13"/>
      <c r="D18" s="14"/>
      <c r="E18" s="2"/>
    </row>
    <row r="20" spans="1:9" ht="16.5" customHeight="1">
      <c r="A20" s="9" t="s">
        <v>12</v>
      </c>
      <c r="B20" s="24" t="s">
        <v>13</v>
      </c>
      <c r="C20" s="24"/>
      <c r="D20" s="9" t="s">
        <v>14</v>
      </c>
      <c r="E20" s="2"/>
    </row>
    <row r="21" spans="1:9" ht="16.5" customHeight="1">
      <c r="A21" s="3" t="s">
        <v>15</v>
      </c>
      <c r="B21" s="23" t="s">
        <v>16</v>
      </c>
      <c r="C21" s="23"/>
      <c r="D21" s="5" t="s">
        <v>17</v>
      </c>
      <c r="E21" s="15" t="str">
        <f>HYPERLINK("https://www.bls.gov/schedule/2024/","Link to Release Schedule "&amp;A21)</f>
        <v>Link to Release Schedule 2024-2034</v>
      </c>
    </row>
    <row r="22" spans="1:9" ht="16.5" customHeight="1">
      <c r="A22" s="3" t="s">
        <v>18</v>
      </c>
      <c r="B22" s="23" t="s">
        <v>16</v>
      </c>
      <c r="C22" s="23"/>
      <c r="D22" s="5" t="s">
        <v>19</v>
      </c>
      <c r="E22" s="15" t="str">
        <f>HYPERLINK("https://www.bls.gov/schedule/2025/","Link to Release Schedule "&amp;A22)</f>
        <v>Link to Release Schedule 2025-2035</v>
      </c>
    </row>
    <row r="23" spans="1:9" ht="16.5" customHeight="1">
      <c r="A23" s="7" t="s">
        <v>20</v>
      </c>
      <c r="B23" s="23" t="s">
        <v>16</v>
      </c>
      <c r="C23" s="23"/>
      <c r="D23" s="5" t="s">
        <v>21</v>
      </c>
      <c r="E23" s="15" t="str">
        <f>HYPERLINK("https://www.bls.gov/schedule/2026/","Link to Release Schedule "&amp;A23)</f>
        <v>Link to Release Schedule 2026-2036</v>
      </c>
    </row>
    <row r="24" spans="1:9" ht="16.5" customHeight="1">
      <c r="A24" s="3"/>
      <c r="B24" s="4"/>
      <c r="C24" s="5"/>
    </row>
    <row r="25" spans="1:9" ht="16.5" customHeight="1">
      <c r="A25" s="3">
        <v>2024</v>
      </c>
      <c r="B25" s="23" t="s">
        <v>22</v>
      </c>
      <c r="C25" s="23"/>
      <c r="D25" s="10">
        <v>45413</v>
      </c>
      <c r="E25" s="15" t="str">
        <f>HYPERLINK("https://www.bls.gov/schedule/2024/","Link to Release Schedule "&amp;A25)</f>
        <v>Link to Release Schedule 2024</v>
      </c>
    </row>
    <row r="26" spans="1:9" ht="16.5" customHeight="1">
      <c r="A26" s="3">
        <v>2025</v>
      </c>
      <c r="B26" s="23" t="s">
        <v>22</v>
      </c>
      <c r="C26" s="23"/>
      <c r="D26" s="10">
        <v>45778</v>
      </c>
      <c r="E26" s="15" t="str">
        <f>HYPERLINK("https://www.bls.gov/schedule/2025/","Link to Release Schedule "&amp;A26)</f>
        <v>Link to Release Schedule 2025</v>
      </c>
    </row>
    <row r="27" spans="1:9" ht="16.5" customHeight="1">
      <c r="A27" s="3">
        <v>2026</v>
      </c>
      <c r="B27" s="23" t="s">
        <v>22</v>
      </c>
      <c r="C27" s="23"/>
      <c r="D27" s="10">
        <v>46143</v>
      </c>
      <c r="E27" s="15" t="str">
        <f>HYPERLINK("https://www.bls.gov/schedule/2026/","Link to Release Schedule "&amp;A27)</f>
        <v>Link to Release Schedule 2026</v>
      </c>
    </row>
    <row r="30" spans="1:9" s="2" customFormat="1" ht="15.75">
      <c r="A30"/>
      <c r="B30"/>
      <c r="C30"/>
      <c r="D30"/>
      <c r="E30"/>
      <c r="F30" s="8"/>
      <c r="G30" s="8"/>
      <c r="H30" s="8"/>
      <c r="I30" s="8"/>
    </row>
    <row r="31" spans="1:9" s="2" customFormat="1">
      <c r="A31"/>
      <c r="B31"/>
      <c r="C31"/>
      <c r="D31"/>
      <c r="E31"/>
    </row>
    <row r="32" spans="1:9" s="2" customFormat="1">
      <c r="A32"/>
      <c r="B32"/>
      <c r="C32"/>
      <c r="D32"/>
      <c r="E32"/>
    </row>
    <row r="33" spans="1:5" s="2" customFormat="1">
      <c r="A33"/>
      <c r="B33"/>
      <c r="C33"/>
      <c r="D33"/>
      <c r="E33"/>
    </row>
    <row r="34" spans="1:5" s="2" customFormat="1">
      <c r="A34"/>
      <c r="B34"/>
      <c r="C34"/>
      <c r="D34"/>
      <c r="E34"/>
    </row>
    <row r="35" spans="1:5" s="2" customFormat="1">
      <c r="A35"/>
      <c r="B35"/>
      <c r="C35"/>
      <c r="D35"/>
      <c r="E35"/>
    </row>
    <row r="36" spans="1:5" s="2" customFormat="1">
      <c r="A36"/>
      <c r="B36"/>
      <c r="C36"/>
      <c r="D36"/>
      <c r="E36"/>
    </row>
  </sheetData>
  <mergeCells count="7">
    <mergeCell ref="B27:C27"/>
    <mergeCell ref="B20:C20"/>
    <mergeCell ref="B21:C21"/>
    <mergeCell ref="B22:C22"/>
    <mergeCell ref="B23:C23"/>
    <mergeCell ref="B25:C25"/>
    <mergeCell ref="B26:C26"/>
  </mergeCells>
  <pageMargins left="0.7" right="0.7" top="0.75" bottom="0.75" header="0.3" footer="0.3"/>
  <drawing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98e8a7-327a-4b40-870e-50bd8c4373ce" xsi:nil="true"/>
    <lcf76f155ced4ddcb4097134ff3c332f xmlns="85d7b6ce-f472-4caa-8437-7e56da8a3e2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03B3C4872674EA2672C5A386BEF7D" ma:contentTypeVersion="19" ma:contentTypeDescription="Create a new document." ma:contentTypeScope="" ma:versionID="b2e40e70a80fe88b75787e7e67c9de49">
  <xsd:schema xmlns:xsd="http://www.w3.org/2001/XMLSchema" xmlns:xs="http://www.w3.org/2001/XMLSchema" xmlns:p="http://schemas.microsoft.com/office/2006/metadata/properties" xmlns:ns2="85d7b6ce-f472-4caa-8437-7e56da8a3e2a" xmlns:ns3="7498e8a7-327a-4b40-870e-50bd8c4373ce" targetNamespace="http://schemas.microsoft.com/office/2006/metadata/properties" ma:root="true" ma:fieldsID="e62b383b1d9c18fe6506635dbdb04c78" ns2:_="" ns3:_="">
    <xsd:import namespace="85d7b6ce-f472-4caa-8437-7e56da8a3e2a"/>
    <xsd:import namespace="7498e8a7-327a-4b40-870e-50bd8c4373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b6ce-f472-4caa-8437-7e56da8a3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af9f51b-2984-4022-8acc-3c23a99e8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8e8a7-327a-4b40-870e-50bd8c4373c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665744e-6db5-44f4-9ad5-f88ce5010bfd}" ma:internalName="TaxCatchAll" ma:showField="CatchAllData" ma:web="7498e8a7-327a-4b40-870e-50bd8c4373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FAB9D5-F1E5-4C73-9735-C4EF6B522A1A}"/>
</file>

<file path=customXml/itemProps2.xml><?xml version="1.0" encoding="utf-8"?>
<ds:datastoreItem xmlns:ds="http://schemas.openxmlformats.org/officeDocument/2006/customXml" ds:itemID="{F64EF846-72DC-4E31-96F4-69013B0AB9D9}"/>
</file>

<file path=customXml/itemProps3.xml><?xml version="1.0" encoding="utf-8"?>
<ds:datastoreItem xmlns:ds="http://schemas.openxmlformats.org/officeDocument/2006/customXml" ds:itemID="{ABB219DC-CE4F-4404-ACA5-7DB561E114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Iowa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Fine, Lydia J</dc:creator>
  <cp:keywords/>
  <dc:description/>
  <cp:lastModifiedBy>O'Neill, Michael J</cp:lastModifiedBy>
  <cp:revision/>
  <dcterms:created xsi:type="dcterms:W3CDTF">2026-07-29T15:55:18Z</dcterms:created>
  <dcterms:modified xsi:type="dcterms:W3CDTF">2026-07-29T22:21:26Z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0x0101003A803B3C4872674EA2672C5A386BEF7D</vt:lpwstr>
  </property>
</Properties>
</file>